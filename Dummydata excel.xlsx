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4000" tabRatio="500"/>
  </bookViews>
  <sheets>
    <sheet name="Sheet1" sheetId="1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O20" i="1"/>
  <c r="L11"/>
  <c r="M11"/>
  <c r="O11"/>
  <c r="N11"/>
  <c r="L2"/>
  <c r="M2"/>
  <c r="L3"/>
  <c r="M3"/>
  <c r="L4"/>
  <c r="M4"/>
  <c r="L5"/>
  <c r="M5"/>
  <c r="L6"/>
  <c r="M6"/>
  <c r="L7"/>
  <c r="M7"/>
  <c r="L8"/>
  <c r="M8"/>
  <c r="L9"/>
  <c r="M9"/>
  <c r="L10"/>
  <c r="M10"/>
  <c r="L12"/>
  <c r="M12"/>
  <c r="L13"/>
  <c r="M13"/>
  <c r="L14"/>
  <c r="M14"/>
  <c r="L15"/>
  <c r="M15"/>
  <c r="L16"/>
  <c r="M16"/>
  <c r="L17"/>
  <c r="M17"/>
  <c r="L18"/>
  <c r="M18"/>
  <c r="L19"/>
  <c r="M19"/>
  <c r="L20"/>
  <c r="M20"/>
  <c r="N20"/>
  <c r="O19"/>
  <c r="N19"/>
  <c r="O18"/>
  <c r="N18"/>
  <c r="O17"/>
  <c r="N17"/>
  <c r="O16"/>
  <c r="N16"/>
  <c r="O15"/>
  <c r="N15"/>
  <c r="O14"/>
  <c r="N14"/>
  <c r="O13"/>
  <c r="N13"/>
  <c r="O12"/>
  <c r="N12"/>
  <c r="O10"/>
  <c r="N10"/>
  <c r="O9"/>
  <c r="N9"/>
  <c r="O8"/>
  <c r="N8"/>
  <c r="O7"/>
  <c r="N7"/>
  <c r="O6"/>
  <c r="N6"/>
  <c r="O5"/>
  <c r="N5"/>
  <c r="O4"/>
  <c r="N4"/>
  <c r="O3"/>
  <c r="N3"/>
  <c r="O2"/>
  <c r="N2"/>
</calcChain>
</file>

<file path=xl/sharedStrings.xml><?xml version="1.0" encoding="utf-8"?>
<sst xmlns="http://schemas.openxmlformats.org/spreadsheetml/2006/main" count="168" uniqueCount="121">
  <si>
    <t>1,19</t>
  </si>
  <si>
    <t>6,48</t>
  </si>
  <si>
    <t>Spannumer Pijpje</t>
  </si>
  <si>
    <t>Spannum, Platte Dyk</t>
  </si>
  <si>
    <t>http://www.fryslan.nl/binfo/baggerinfo/brug2.asp?foto=1168a.jpg,1168b.jpg&amp;id=1168&amp;naam=Spannumer Pijpje&amp;water=Oudemeer</t>
  </si>
  <si>
    <t>HEIGTH</t>
    <phoneticPr fontId="1" type="noConversion"/>
  </si>
  <si>
    <t>ID</t>
    <phoneticPr fontId="1" type="noConversion"/>
  </si>
  <si>
    <t>WIDTH</t>
    <phoneticPr fontId="1" type="noConversion"/>
  </si>
  <si>
    <t>BRIDGENAME</t>
    <phoneticPr fontId="1" type="noConversion"/>
  </si>
  <si>
    <t>ADRESS</t>
    <phoneticPr fontId="1" type="noConversion"/>
  </si>
  <si>
    <t>WATERNAME</t>
    <phoneticPr fontId="1" type="noConversion"/>
  </si>
  <si>
    <t>DESCRIPTION</t>
    <phoneticPr fontId="1" type="noConversion"/>
  </si>
  <si>
    <t>PICTURE</t>
    <phoneticPr fontId="1" type="noConversion"/>
  </si>
  <si>
    <t>BRIDGETYPE</t>
    <phoneticPr fontId="1" type="noConversion"/>
  </si>
  <si>
    <t>http://shancarter.com/data_converter/</t>
  </si>
  <si>
    <t>LAT</t>
    <phoneticPr fontId="1" type="noConversion"/>
  </si>
  <si>
    <t>LON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</si>
  <si>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</si>
  <si>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</si>
  <si>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</si>
  <si>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</si>
  <si>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</si>
  <si>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</si>
  <si>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</si>
  <si>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Himpensserreed</t>
  </si>
  <si>
    <t>Hempensermeerpoldervaart</t>
  </si>
  <si>
    <t>geen foto beschikbaar</t>
  </si>
  <si>
    <t>2,51</t>
  </si>
  <si>
    <t>6,39</t>
  </si>
  <si>
    <t>N31</t>
  </si>
  <si>
    <t>Harlingervaart</t>
  </si>
  <si>
    <t>http://www.fryslan.nl/binfo/baggerinfo/brug2.asp?foto=1130a.jpg,1130b.jpg&amp;id=1130&amp;naam=-&amp;water=Harlingervaart</t>
  </si>
  <si>
    <t>1,3</t>
  </si>
  <si>
    <t>4,19</t>
  </si>
  <si>
    <t>Laakwerd</t>
  </si>
  <si>
    <t>Tzummervaart</t>
  </si>
  <si>
    <t>http://www.fryslan.nl/binfo/baggerinfo/brug2.asp?foto=1132a.jpg,1132b.jpg&amp;id=1132&amp;naam=-&amp;water=Tzummervaart</t>
  </si>
  <si>
    <t>2,29</t>
  </si>
  <si>
    <t>4</t>
  </si>
  <si>
    <t>Kiptille</t>
  </si>
  <si>
    <t>Klein Luidum</t>
  </si>
  <si>
    <t>Achlumervaart</t>
  </si>
  <si>
    <t>http://www.fryslan.nl/binfo/baggerinfo/brug2.asp?foto=1133a.jpg,1133b.jpg&amp;id=1133&amp;naam=Kiptille&amp;water=Achlumervaart</t>
  </si>
  <si>
    <t>2,54</t>
  </si>
  <si>
    <t>6,47</t>
  </si>
  <si>
    <t>Kimswerderbrug</t>
  </si>
  <si>
    <t>Harlingerweg</t>
  </si>
  <si>
    <t>http://www.fryslan.nl/binfo/baggerinfo/brug2.asp?foto=1137a.jpg,1137b.jpg&amp;id=1137&amp;naam=Kimswerderbrug&amp;water=Harlingervaart</t>
  </si>
  <si>
    <t>1,88</t>
  </si>
  <si>
    <t>4,63</t>
  </si>
  <si>
    <t>Tzum, Voorstraat</t>
  </si>
  <si>
    <t>Oudemeer</t>
  </si>
  <si>
    <t>http://www.fryslan.nl/binfo/baggerinfo/brug2.asp?foto=1141a.jpg,1141b.jpg&amp;id=1141&amp;naam=-&amp;water=Oudemeer</t>
  </si>
  <si>
    <t>2,67</t>
  </si>
  <si>
    <t>9,79</t>
  </si>
  <si>
    <t>Mountsjetille</t>
  </si>
  <si>
    <t>Stelpdijk</t>
  </si>
  <si>
    <t>http://www.fryslan.nl/binfo/baggerinfo/brug2.asp?foto=1144a.jpg,1144b.jpg&amp;id=1144&amp;naam=Mountsjetille&amp;water=Franekervaart</t>
  </si>
  <si>
    <t>1,31</t>
  </si>
  <si>
    <t>3</t>
  </si>
  <si>
    <t>Tzum, Sportlaan</t>
  </si>
  <si>
    <t>http://www.fryslan.nl/binfo/baggerinfo/brug2.asp?foto=1145a.jpg,1145b.jpg&amp;id=1145&amp;naam=-&amp;water=Oudemeer</t>
  </si>
  <si>
    <t>1,65</t>
  </si>
  <si>
    <t>Wielstersyl</t>
  </si>
  <si>
    <t>Hegedyk</t>
  </si>
  <si>
    <t>Wielervaart</t>
  </si>
  <si>
    <t>2,58</t>
  </si>
  <si>
    <t>8,79</t>
  </si>
  <si>
    <t>PanwurksbrÛge</t>
  </si>
  <si>
    <t>Tongerwei</t>
  </si>
  <si>
    <t>http://www.fryslan.nl/binfo/baggerinfo/brug2.asp?foto=1151a.jpg,1151b.jpg&amp;id=1151&amp;naam=PanwurksbrÛge&amp;water=Bolswardertrekvaart</t>
  </si>
  <si>
    <t>0,97</t>
  </si>
  <si>
    <t>5,75</t>
  </si>
  <si>
    <t>Wergea</t>
  </si>
  <si>
    <t>Wargaaster vaart</t>
  </si>
  <si>
    <t>http://www.fryslan.nl/binfo/baggerinfo/brug2.asp?foto=1155a.jpg,1155b.jpg&amp;id=1155&amp;naam=-&amp;water=Wargaaster vaart</t>
  </si>
  <si>
    <t>X</t>
  </si>
  <si>
    <t>Y</t>
  </si>
  <si>
    <t>dx</t>
  </si>
  <si>
    <t>dy</t>
  </si>
  <si>
    <t>brug</t>
  </si>
  <si>
    <t>2,38</t>
  </si>
  <si>
    <t>6</t>
  </si>
  <si>
    <t>-</t>
  </si>
  <si>
    <t>Hitzum, Achlumerweg</t>
  </si>
  <si>
    <t>Arumervaart</t>
  </si>
  <si>
    <t>http://www.fryslan.nl/binfo/baggerinfo/brug2.asp?foto=1073a.jpg,1073b.jpg,1073c.jpg&amp;id=1073&amp;naam=-&amp;water=Arumervaart</t>
  </si>
  <si>
    <t>2,26</t>
  </si>
  <si>
    <t>5,28</t>
  </si>
  <si>
    <t>fietspad Hitzum</t>
  </si>
  <si>
    <t>normaal h=2,50,maar nu lager door noodversterking</t>
  </si>
  <si>
    <t>http://www.fryslan.nl/binfo/baggerinfo/brug2.asp?foto=1076a.jpg,1076b.jpg,1076c.jpg&amp;id=1076&amp;naam=-&amp;water=Arumervaart</t>
  </si>
  <si>
    <t>beweegbare brug</t>
  </si>
  <si>
    <t>7,44</t>
  </si>
  <si>
    <t>12,08</t>
  </si>
  <si>
    <t>Fonejachtbrug</t>
  </si>
  <si>
    <t>N31/WÔldwei</t>
  </si>
  <si>
    <t>Prinses Margrietkanaal</t>
  </si>
  <si>
    <t>vaste deel: h=7,24, w=21,98</t>
  </si>
  <si>
    <t>http://www.fryslan.nl/binfo/baggerinfo/brug2.asp?foto=1095a.jpg,1095b.jpg&amp;id=1095&amp;naam=Fonejachtbrug&amp;water=Prinses Margrietkanaal</t>
  </si>
  <si>
    <t>2,65</t>
  </si>
  <si>
    <t>6,76</t>
  </si>
  <si>
    <t>Welsrijpertille</t>
  </si>
  <si>
    <t>Welsrijp</t>
  </si>
  <si>
    <t>Franekervaart</t>
  </si>
  <si>
    <t>http://www.fryslan.nl/binfo/baggerinfo/brug2.asp?foto=1100a.jpg,1100b.jpg&amp;id=1100&amp;naam=Welsrijpertille&amp;water=Franekervaart</t>
  </si>
  <si>
    <t>2,6</t>
  </si>
  <si>
    <t>9,44</t>
  </si>
  <si>
    <t>N31/Westergoawei</t>
  </si>
  <si>
    <t>Bolswardertrekvaart</t>
  </si>
  <si>
    <t>http://www.fryslan.nl/binfo/baggerinfo/brug2.asp?foto=1117a.jpg,1117b.jpg&amp;id=1117&amp;naam=-&amp;water=Bolswardertrekvaart</t>
  </si>
  <si>
    <t>1,85</t>
  </si>
  <si>
    <t>3,7</t>
  </si>
  <si>
    <t>Wirdumervaart</t>
  </si>
  <si>
    <t>http://www.fryslan.nl/binfo/baggerinfo/brug2.asp?foto=1119a.jpg,1119b.jpg&amp;id=1119&amp;naam=-&amp;water=Wirdumervaart</t>
  </si>
  <si>
    <t>2,57</t>
  </si>
  <si>
    <t>8,57</t>
  </si>
  <si>
    <t>N384/Suderpolderwei</t>
  </si>
  <si>
    <t>http://www.fryslan.nl/binfo/baggerinfo/brug2.asp?foto=1121a.jpg,1121b.jpg&amp;id=1121&amp;naam=-&amp;water=Franekervaart</t>
  </si>
  <si>
    <t>0,4</t>
  </si>
  <si>
    <t>3,4</t>
  </si>
</sst>
</file>

<file path=xl/styles.xml><?xml version="1.0" encoding="utf-8"?>
<styleSheet xmlns="http://schemas.openxmlformats.org/spreadsheetml/2006/main">
  <numFmts count="2">
    <numFmt numFmtId="164" formatCode="0.00000000000"/>
    <numFmt numFmtId="165" formatCode="0.000000"/>
  </numFmts>
  <fonts count="3">
    <font>
      <sz val="10"/>
      <name val="Verdana"/>
    </font>
    <font>
      <sz val="8"/>
      <name val="Verdana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O24"/>
  <sheetViews>
    <sheetView tabSelected="1" view="pageLayout" workbookViewId="0">
      <selection activeCell="O20" sqref="A1:O20"/>
    </sheetView>
  </sheetViews>
  <sheetFormatPr baseColWidth="10" defaultRowHeight="13"/>
  <sheetData>
    <row r="1" spans="1:15">
      <c r="A1" s="1" t="s">
        <v>6</v>
      </c>
      <c r="B1" s="1" t="s">
        <v>13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 t="s">
        <v>76</v>
      </c>
      <c r="K1" s="2" t="s">
        <v>77</v>
      </c>
      <c r="L1" s="3" t="s">
        <v>78</v>
      </c>
      <c r="M1" s="3" t="s">
        <v>79</v>
      </c>
      <c r="N1" s="4" t="s">
        <v>15</v>
      </c>
      <c r="O1" s="4" t="s">
        <v>16</v>
      </c>
    </row>
    <row r="2" spans="1:15">
      <c r="A2" s="5">
        <v>1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  <c r="H2" s="5" t="s">
        <v>17</v>
      </c>
      <c r="I2" s="5" t="s">
        <v>86</v>
      </c>
      <c r="J2" s="6">
        <v>163456</v>
      </c>
      <c r="K2" s="6">
        <v>575500</v>
      </c>
      <c r="L2" s="7">
        <f t="shared" ref="L2:L20" si="0">(J2-155000)/100000</f>
        <v>8.4559999999999996E-2</v>
      </c>
      <c r="M2" s="7">
        <f t="shared" ref="M2:M20" si="1">(K2-463000)/100000</f>
        <v>1.125</v>
      </c>
      <c r="N2" s="8">
        <f>52.1551744+(3235.65389*M2-32.58297*L2^2-0.2475*M2^2-0.84978*L2^2*M2-0.0655*M2^3-0.01709*L2^2*M2^2-0.00738*L2+0.0053*L2^4-0.00039*L2^2*M2^3+0.00033*L2^4*M2-0.00012*L2*M2)/3600</f>
        <v>53.166136486849261</v>
      </c>
      <c r="O2" s="8">
        <f>5.38720621+(5260.52916*L2+105.94684*L2*M2+2.45656*L2*M2^2-0.81885*L2^3+0.05594*L2*M2^3-O13*L2^3*M2+0.001199*M2-0.00256*L2^3*M2^2+0.00128*L2*M2^4+0.00022*M2^2-0.00022*L2^2+0.00026*L2^5)/3600</f>
        <v>5.5136440760963801</v>
      </c>
    </row>
    <row r="3" spans="1:15">
      <c r="A3" s="5">
        <v>2</v>
      </c>
      <c r="B3" s="5" t="s">
        <v>80</v>
      </c>
      <c r="C3" s="5" t="s">
        <v>87</v>
      </c>
      <c r="D3" s="5" t="s">
        <v>88</v>
      </c>
      <c r="E3" s="5" t="s">
        <v>83</v>
      </c>
      <c r="F3" s="5" t="s">
        <v>89</v>
      </c>
      <c r="G3" s="5" t="s">
        <v>85</v>
      </c>
      <c r="H3" s="5" t="s">
        <v>90</v>
      </c>
      <c r="I3" s="5" t="s">
        <v>91</v>
      </c>
      <c r="J3" s="6">
        <v>163437</v>
      </c>
      <c r="K3" s="6">
        <v>575463</v>
      </c>
      <c r="L3" s="7">
        <f t="shared" si="0"/>
        <v>8.4370000000000001E-2</v>
      </c>
      <c r="M3" s="7">
        <f t="shared" si="1"/>
        <v>1.12463</v>
      </c>
      <c r="N3" s="8">
        <f>52.1551744+(3235.65389*M3-32.58297*L3^2-0.2475*M3^2-0.84978*L3^2*M3-0.0655*M3^3-0.01709*L3^2*M3^2-0.00738*L3+0.0053*L3^4-0.00039*L3^2*M3^3+0.00033*L3^4*M3-0.00012*L3*M3)/3600</f>
        <v>53.165804316580441</v>
      </c>
      <c r="O3" s="8">
        <f>5.38720621+(5260.52916*L3+105.94684*L3*M3+2.45656*L3*M3^2-0.81885*L3^3+0.05594*L3*M3^3-O14*L3^3*M3+0.001199*M3-0.00256*L3^3*M3^2+0.00128*L3*M3^4+0.00022*M3^2-0.00022*L3^2+0.00026*L3^5)/3600</f>
        <v>5.5133589922263653</v>
      </c>
    </row>
    <row r="4" spans="1:15">
      <c r="A4" s="5">
        <v>3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  <c r="G4" s="5" t="s">
        <v>97</v>
      </c>
      <c r="H4" s="5" t="s">
        <v>98</v>
      </c>
      <c r="I4" s="5" t="s">
        <v>99</v>
      </c>
      <c r="J4" s="6">
        <v>191534</v>
      </c>
      <c r="K4" s="6">
        <v>575375</v>
      </c>
      <c r="L4" s="7">
        <f t="shared" si="0"/>
        <v>0.36534</v>
      </c>
      <c r="M4" s="7">
        <f t="shared" si="1"/>
        <v>1.12375</v>
      </c>
      <c r="N4" s="8">
        <f>52.1551744+(3235.65389*M4-32.58297*L4^2-0.2475*M4^2-0.84978*L4^2*M4-0.0655*M4^3-0.01709*L4^2*M4^2-0.00738*L4+0.0053*L4^4-0.00039*L4^2*M4^3+0.00033*L4^4*M4-0.00012*L4*M4)/3600</f>
        <v>53.163835107565014</v>
      </c>
      <c r="O4" s="8">
        <f>5.38720621+(5260.52916*L4+105.94684*L4*M4+2.45656*L4*M4^2-0.81885*L4^3+0.05594*L4*M4^3-O15*L4^3*M4+0.001199*M4-0.00256*L4^3*M4^2+0.00128*L4*M4^4+0.00022*M4^2-0.00022*L4^2+0.00026*L4^5)/3600</f>
        <v>5.9333715568500285</v>
      </c>
    </row>
    <row r="5" spans="1:15">
      <c r="A5" s="5">
        <v>4</v>
      </c>
      <c r="B5" s="5" t="s">
        <v>80</v>
      </c>
      <c r="C5" s="5" t="s">
        <v>100</v>
      </c>
      <c r="D5" s="5" t="s">
        <v>101</v>
      </c>
      <c r="E5" s="5" t="s">
        <v>102</v>
      </c>
      <c r="F5" s="5" t="s">
        <v>103</v>
      </c>
      <c r="G5" s="5" t="s">
        <v>104</v>
      </c>
      <c r="H5" s="5" t="s">
        <v>18</v>
      </c>
      <c r="I5" s="5" t="s">
        <v>105</v>
      </c>
      <c r="J5" s="6">
        <v>169623</v>
      </c>
      <c r="K5" s="6">
        <v>575334</v>
      </c>
      <c r="L5" s="7">
        <f t="shared" si="0"/>
        <v>0.14623</v>
      </c>
      <c r="M5" s="7">
        <f t="shared" si="1"/>
        <v>1.12334</v>
      </c>
      <c r="N5" s="8">
        <f>52.1551744+(3235.65389*M5-32.58297*L5^2-0.2475*M5^2-0.84978*L5^2*M5-0.0655*M5^3-0.01709*L5^2*M5^2-0.00738*L5+0.0053*L5^4-0.00039*L5^2*M5^3+0.00033*L5^4*M5-0.00012*L5*M5)/3600</f>
        <v>53.164512056591775</v>
      </c>
      <c r="O5" s="8">
        <f>5.38720621+(5260.52916*L5+105.94684*L5*M5+2.45656*L5*M5^2-0.81885*L5^3+0.05594*L5*M5^3-O16*L5^3*M5+0.001199*M5-0.00256*L5^3*M5^2+0.00128*L5*M5^4+0.00022*M5^2-0.00022*L5^2+0.00026*L5^5)/3600</f>
        <v>5.6058438057257511</v>
      </c>
    </row>
    <row r="6" spans="1:15">
      <c r="A6" s="5">
        <v>5</v>
      </c>
      <c r="B6" s="5" t="s">
        <v>80</v>
      </c>
      <c r="C6" s="5" t="s">
        <v>106</v>
      </c>
      <c r="D6" s="5" t="s">
        <v>107</v>
      </c>
      <c r="E6" s="5" t="s">
        <v>83</v>
      </c>
      <c r="F6" s="5" t="s">
        <v>108</v>
      </c>
      <c r="G6" s="5" t="s">
        <v>109</v>
      </c>
      <c r="H6" s="5" t="s">
        <v>17</v>
      </c>
      <c r="I6" s="5" t="s">
        <v>110</v>
      </c>
      <c r="J6" s="6">
        <v>174890</v>
      </c>
      <c r="K6" s="6">
        <v>575130</v>
      </c>
      <c r="L6" s="7">
        <f t="shared" si="0"/>
        <v>0.19889999999999999</v>
      </c>
      <c r="M6" s="7">
        <f t="shared" si="1"/>
        <v>1.1213</v>
      </c>
      <c r="N6" s="8">
        <f>52.1551744+(3235.65389*M6-32.58297*L6^2-0.2475*M6^2-0.84978*L6^2*M6-0.0655*M6^3-0.01709*L6^2*M6^2-0.00738*L6+0.0053*L6^4-0.00039*L6^2*M6^3+0.00033*L6^4*M6-0.00012*L6*M6)/3600</f>
        <v>53.162509428495959</v>
      </c>
      <c r="O6" s="8">
        <f>5.38720621+(5260.52916*L6+105.94684*L6*M6+2.45656*L6*M6^2-0.81885*L6^3+0.05594*L6*M6^3-O17*L6^3*M6+0.001199*M6-0.00256*L6^3*M6^2+0.00128*L6*M6^4+0.00022*M6^2-0.00022*L6^2+0.00026*L6^5)/3600</f>
        <v>5.6845737342783069</v>
      </c>
    </row>
    <row r="7" spans="1:15">
      <c r="A7" s="5">
        <v>6</v>
      </c>
      <c r="B7" s="5" t="s">
        <v>80</v>
      </c>
      <c r="C7" s="5" t="s">
        <v>111</v>
      </c>
      <c r="D7" s="5" t="s">
        <v>112</v>
      </c>
      <c r="E7" s="5" t="s">
        <v>83</v>
      </c>
      <c r="F7" s="5" t="s">
        <v>96</v>
      </c>
      <c r="G7" s="5" t="s">
        <v>113</v>
      </c>
      <c r="H7" s="5" t="s">
        <v>19</v>
      </c>
      <c r="I7" s="5" t="s">
        <v>114</v>
      </c>
      <c r="J7" s="6">
        <v>183245</v>
      </c>
      <c r="K7" s="6">
        <v>575116</v>
      </c>
      <c r="L7" s="7">
        <f t="shared" si="0"/>
        <v>0.28244999999999998</v>
      </c>
      <c r="M7" s="7">
        <f t="shared" si="1"/>
        <v>1.1211599999999999</v>
      </c>
      <c r="N7" s="8">
        <f>52.1551744+(3235.65389*M7-32.58297*L7^2-0.2475*M7^2-0.84978*L7^2*M7-0.0655*M7^3-0.01709*L7^2*M7^2-0.00738*L7+0.0053*L7^4-0.00039*L7^2*M7^3+0.00033*L7^4*M7-0.00012*L7*M7)/3600</f>
        <v>53.162008578588683</v>
      </c>
      <c r="O7" s="8">
        <f>5.38720621+(5260.52916*L7+105.94684*L7*M7+2.45656*L7*M7^2-0.81885*L7^3+0.05594*L7*M7^3-O18*L7^3*M7+0.001199*M7-0.00256*L7^3*M7^2+0.00128*L7*M7^4+0.00022*M7^2-0.00022*L7^2+0.00026*L7^5)/3600</f>
        <v>5.809462215847299</v>
      </c>
    </row>
    <row r="8" spans="1:15">
      <c r="A8" s="5">
        <v>7</v>
      </c>
      <c r="B8" s="5" t="s">
        <v>80</v>
      </c>
      <c r="C8" s="5" t="s">
        <v>115</v>
      </c>
      <c r="D8" s="5" t="s">
        <v>116</v>
      </c>
      <c r="E8" s="5" t="s">
        <v>83</v>
      </c>
      <c r="F8" s="5" t="s">
        <v>117</v>
      </c>
      <c r="G8" s="5" t="s">
        <v>104</v>
      </c>
      <c r="H8" s="5" t="s">
        <v>17</v>
      </c>
      <c r="I8" s="5" t="s">
        <v>118</v>
      </c>
      <c r="J8" s="6">
        <v>169985</v>
      </c>
      <c r="K8" s="6">
        <v>575070</v>
      </c>
      <c r="L8" s="7">
        <f t="shared" si="0"/>
        <v>0.14985000000000001</v>
      </c>
      <c r="M8" s="7">
        <f t="shared" si="1"/>
        <v>1.1207</v>
      </c>
      <c r="N8" s="8">
        <f>52.1551744+(3235.65389*M8-32.58297*L8^2-0.2475*M8^2-0.84978*L8^2*M8-0.0655*M8^3-0.01709*L8^2*M8^2-0.00738*L8+0.0053*L8^4-0.00039*L8^2*M8^3+0.00033*L8^4*M8-0.00012*L8*M8)/3600</f>
        <v>53.162129848071615</v>
      </c>
      <c r="O8" s="8">
        <f>5.38720621+(5260.52916*L8+105.94684*L8*M8+2.45656*L8*M8^2-0.81885*L8^3+0.05594*L8*M8^3-O19*L8^3*M8+0.001199*M8-0.00256*L8^3*M8^2+0.00128*L8*M8^4+0.00022*M8^2-0.00022*L8^2+0.00026*L8^5)/3600</f>
        <v>5.6112434132608566</v>
      </c>
    </row>
    <row r="9" spans="1:15">
      <c r="A9" s="5">
        <v>8</v>
      </c>
      <c r="B9" s="5" t="s">
        <v>80</v>
      </c>
      <c r="C9" s="5" t="s">
        <v>119</v>
      </c>
      <c r="D9" s="5" t="s">
        <v>120</v>
      </c>
      <c r="E9" s="5" t="s">
        <v>83</v>
      </c>
      <c r="F9" s="5" t="s">
        <v>24</v>
      </c>
      <c r="G9" s="5" t="s">
        <v>25</v>
      </c>
      <c r="H9" s="5" t="s">
        <v>17</v>
      </c>
      <c r="I9" s="5" t="s">
        <v>26</v>
      </c>
      <c r="J9" s="6">
        <v>185582</v>
      </c>
      <c r="K9" s="6">
        <v>574867</v>
      </c>
      <c r="L9" s="7">
        <f t="shared" si="0"/>
        <v>0.30581999999999998</v>
      </c>
      <c r="M9" s="7">
        <f t="shared" si="1"/>
        <v>1.1186700000000001</v>
      </c>
      <c r="N9" s="8">
        <f>52.1551744+(3235.65389*M9-32.58297*L9^2-0.2475*M9^2-0.84978*L9^2*M9-0.0655*M9^3-0.01709*L9^2*M9^2-0.00738*L9+0.0053*L9^4-0.00039*L9^2*M9^3+0.00033*L9^4*M9-0.00012*L9*M9)/3600</f>
        <v>53.159642999006294</v>
      </c>
      <c r="O9" s="8">
        <f>5.38720621+(5260.52916*L9+105.94684*L9*M9+2.45656*L9*M9^2-0.81885*L9^3+0.05594*L9*M9^3-O20*L9^3*M9+0.001199*M9-0.00256*L9^3*M9^2+0.00128*L9*M9^4+0.00022*M9^2-0.00022*L9^2+0.00026*L9^5)/3600</f>
        <v>5.8443685255072957</v>
      </c>
    </row>
    <row r="10" spans="1:15">
      <c r="A10" s="5">
        <v>9</v>
      </c>
      <c r="B10" s="5" t="s">
        <v>80</v>
      </c>
      <c r="C10" s="5" t="s">
        <v>27</v>
      </c>
      <c r="D10" s="5" t="s">
        <v>28</v>
      </c>
      <c r="E10" s="5" t="s">
        <v>83</v>
      </c>
      <c r="F10" s="5" t="s">
        <v>29</v>
      </c>
      <c r="G10" s="5" t="s">
        <v>30</v>
      </c>
      <c r="H10" s="5" t="s">
        <v>17</v>
      </c>
      <c r="I10" s="5" t="s">
        <v>31</v>
      </c>
      <c r="J10" s="6">
        <v>157115</v>
      </c>
      <c r="K10" s="6">
        <v>574787</v>
      </c>
      <c r="L10" s="7">
        <f t="shared" si="0"/>
        <v>2.1149999999999999E-2</v>
      </c>
      <c r="M10" s="7">
        <f t="shared" si="1"/>
        <v>1.1178699999999999</v>
      </c>
      <c r="N10" s="8">
        <f>52.1551744+(3235.65389*M10-32.58297*L10^2-0.2475*M10^2-0.84978*L10^2*M10-0.0655*M10^3-0.01709*L10^2*M10^2-0.00738*L10+0.0053*L10^4-0.00039*L10^2*M10^3+0.00033*L10^4*M10-0.00012*L10*M10)/3600</f>
        <v>53.15979230618273</v>
      </c>
      <c r="O10" s="8">
        <f>5.38720621+(5260.52916*L10+105.94684*L10*M10+2.45656*L10*M10^2-0.81885*L10^3+0.05594*L10*M10^3-O21*L10^3*M10+0.001199*M10-0.00256*L10^3*M10^2+0.00128*L10*M10^4+0.00022*M10^2-0.00022*L10^2+0.00026*L10^5)/3600</f>
        <v>5.418826575632119</v>
      </c>
    </row>
    <row r="11" spans="1:15">
      <c r="A11" s="5">
        <v>10</v>
      </c>
      <c r="B11" s="5" t="s">
        <v>80</v>
      </c>
      <c r="C11" s="5" t="s">
        <v>32</v>
      </c>
      <c r="D11" s="5" t="s">
        <v>33</v>
      </c>
      <c r="E11" s="5" t="s">
        <v>83</v>
      </c>
      <c r="F11" s="5" t="s">
        <v>34</v>
      </c>
      <c r="G11" s="5" t="s">
        <v>35</v>
      </c>
      <c r="H11" s="5" t="s">
        <v>20</v>
      </c>
      <c r="I11" s="5" t="s">
        <v>36</v>
      </c>
      <c r="J11" s="6">
        <v>166517</v>
      </c>
      <c r="K11" s="6">
        <v>574703</v>
      </c>
      <c r="L11" s="7">
        <f t="shared" si="0"/>
        <v>0.11516999999999999</v>
      </c>
      <c r="M11" s="7">
        <f t="shared" si="1"/>
        <v>1.11703</v>
      </c>
      <c r="N11" s="8">
        <f t="shared" ref="N11" si="2">52.1551744+(3235.65389*M11-32.58297*L11^2-0.2475*M11^2-0.84978*L11^2*M11-0.0655*M11^3-0.01709*L11^2*M11^2-0.00738*L11+0.0053*L11^4-0.00039*L11^2*M11^3+0.00033*L11^4*M11-0.00012*L11*M11)/3600</f>
        <v>53.158917850725224</v>
      </c>
      <c r="O11" s="8">
        <f t="shared" ref="O11" si="3">5.38720621+(5260.52916*L11+105.94684*L11*M11+2.45656*L11*M11^2-0.81885*L11^3+0.05594*L11*M11^3-O22*L11^3*M11+0.001199*M11-0.00256*L11^3*M11^2+0.00128*L11*M11^4+0.00022*M11^2-0.00022*L11^2+0.00026*L11^5)/3600</f>
        <v>5.5593861019092152</v>
      </c>
    </row>
    <row r="12" spans="1:15">
      <c r="A12" s="5">
        <v>11</v>
      </c>
      <c r="B12" s="5" t="s">
        <v>80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41</v>
      </c>
      <c r="H12" s="5" t="s">
        <v>17</v>
      </c>
      <c r="I12" s="5" t="s">
        <v>42</v>
      </c>
      <c r="J12" s="6">
        <v>159986</v>
      </c>
      <c r="K12" s="6">
        <v>574703</v>
      </c>
      <c r="L12" s="7">
        <f t="shared" si="0"/>
        <v>4.9860000000000002E-2</v>
      </c>
      <c r="M12" s="7">
        <f t="shared" si="1"/>
        <v>1.11703</v>
      </c>
      <c r="N12" s="8">
        <f>52.1551744+(3235.65389*M12-32.58297*L12^2-0.2475*M12^2-0.84978*L12^2*M12-0.0655*M12^3-0.01709*L12^2*M12^2-0.00738*L12+0.0053*L12^4-0.00039*L12^2*M12^3+0.00033*L12^4*M12-0.00012*L12*M12)/3600</f>
        <v>53.15901844494374</v>
      </c>
      <c r="O12" s="8">
        <f>5.38720621+(5260.52916*L12+105.94684*L12*M12+2.45656*L12*M12^2-0.81885*L12^3+0.05594*L12*M12^3-O23*L12^3*M12+0.001199*M12-0.00256*L12^3*M12^2+0.00128*L12*M12^4+0.00022*M12^2-0.00022*L12^2+0.00026*L12^5)/3600</f>
        <v>5.4617476083127592</v>
      </c>
    </row>
    <row r="13" spans="1:15">
      <c r="A13" s="5">
        <v>12</v>
      </c>
      <c r="B13" s="5" t="s">
        <v>80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30</v>
      </c>
      <c r="H13" s="5" t="s">
        <v>17</v>
      </c>
      <c r="I13" s="5" t="s">
        <v>47</v>
      </c>
      <c r="J13" s="6">
        <v>157707</v>
      </c>
      <c r="K13" s="6">
        <v>574661</v>
      </c>
      <c r="L13" s="7">
        <f t="shared" si="0"/>
        <v>2.707E-2</v>
      </c>
      <c r="M13" s="7">
        <f t="shared" si="1"/>
        <v>1.1166100000000001</v>
      </c>
      <c r="N13" s="8">
        <f>52.1551744+(3235.65389*M13-32.58297*L13^2-0.2475*M13^2-0.84978*L13^2*M13-0.0655*M13^3-0.01709*L13^2*M13^2-0.00738*L13+0.0053*L13^4-0.00039*L13^2*M13^3+0.00033*L13^4*M13-0.00012*L13*M13)/3600</f>
        <v>53.158657433870204</v>
      </c>
      <c r="O13" s="8">
        <f>5.38720621+(5260.52916*L13+105.94684*L13*M13+2.45656*L13*M13^2-0.81885*L13^3+0.05594*L13*M13^3-O24*L13^3*M13+0.001199*M13-0.00256*L13^3*M13^2+0.00128*L13*M13^4+0.00022*M13^2-0.00022*L13^2+0.00026*L13^5)/3600</f>
        <v>5.4276761020973598</v>
      </c>
    </row>
    <row r="14" spans="1:15">
      <c r="A14" s="5">
        <v>13</v>
      </c>
      <c r="B14" s="5" t="s">
        <v>80</v>
      </c>
      <c r="C14" s="5" t="s">
        <v>48</v>
      </c>
      <c r="D14" s="5" t="s">
        <v>49</v>
      </c>
      <c r="E14" s="5" t="s">
        <v>83</v>
      </c>
      <c r="F14" s="5" t="s">
        <v>50</v>
      </c>
      <c r="G14" s="5" t="s">
        <v>51</v>
      </c>
      <c r="H14" s="5" t="s">
        <v>17</v>
      </c>
      <c r="I14" s="5" t="s">
        <v>52</v>
      </c>
      <c r="J14" s="6">
        <v>166726</v>
      </c>
      <c r="K14" s="6">
        <v>574483</v>
      </c>
      <c r="L14" s="7">
        <f t="shared" si="0"/>
        <v>0.11726</v>
      </c>
      <c r="M14" s="7">
        <f t="shared" si="1"/>
        <v>1.11483</v>
      </c>
      <c r="N14" s="8">
        <f>52.1551744+(3235.65389*M14-32.58297*L14^2-0.2475*M14^2-0.84978*L14^2*M14-0.0655*M14^3-0.01709*L14^2*M14^2-0.00738*L14+0.0053*L14^4-0.00039*L14^2*M14^3+0.00033*L14^4*M14-0.00012*L14*M14)/3600</f>
        <v>53.156936469193603</v>
      </c>
      <c r="O14" s="8">
        <f>5.38720621+(5260.52916*L14+105.94684*L14*M14+2.45656*L14*M14^2-0.81885*L14^3+0.05594*L14*M14^3-O25*L14^3*M14+0.001199*M14-0.00256*L14^3*M14^2+0.00128*L14*M14^4+0.00022*M14^2-0.00022*L14^2+0.00026*L14^5)/3600</f>
        <v>5.5625026427860389</v>
      </c>
    </row>
    <row r="15" spans="1:15">
      <c r="A15" s="5">
        <v>14</v>
      </c>
      <c r="B15" s="5" t="s">
        <v>80</v>
      </c>
      <c r="C15" s="5" t="s">
        <v>53</v>
      </c>
      <c r="D15" s="5" t="s">
        <v>54</v>
      </c>
      <c r="E15" s="5" t="s">
        <v>55</v>
      </c>
      <c r="F15" s="5" t="s">
        <v>56</v>
      </c>
      <c r="G15" s="5" t="s">
        <v>104</v>
      </c>
      <c r="H15" s="5" t="s">
        <v>21</v>
      </c>
      <c r="I15" s="5" t="s">
        <v>57</v>
      </c>
      <c r="J15" s="6">
        <v>170185</v>
      </c>
      <c r="K15" s="6">
        <v>574430</v>
      </c>
      <c r="L15" s="7">
        <f t="shared" si="0"/>
        <v>0.15185000000000001</v>
      </c>
      <c r="M15" s="7">
        <f t="shared" si="1"/>
        <v>1.1143000000000001</v>
      </c>
      <c r="N15" s="8">
        <f>52.1551744+(3235.65389*M15-32.58297*L15^2-0.2475*M15^2-0.84978*L15^2*M15-0.0655*M15^3-0.01709*L15^2*M15^2-0.00738*L15+0.0053*L15^4-0.00039*L15^2*M15^3+0.00033*L15^4*M15-0.00012*L15*M15)/3600</f>
        <v>53.156373401919652</v>
      </c>
      <c r="O15" s="8">
        <f>5.38720621+(5260.52916*L15+105.94684*L15*M15+2.45656*L15*M15^2-0.81885*L15^3+0.05594*L15*M15^3-O26*L15^3*M15+0.001199*M15-0.00256*L15^3*M15^2+0.00128*L15*M15^4+0.00022*M15^2-0.00022*L15^2+0.00026*L15^5)/3600</f>
        <v>5.6142095980523976</v>
      </c>
    </row>
    <row r="16" spans="1:15">
      <c r="A16" s="5">
        <v>15</v>
      </c>
      <c r="B16" s="5" t="s">
        <v>80</v>
      </c>
      <c r="C16" s="5" t="s">
        <v>58</v>
      </c>
      <c r="D16" s="5" t="s">
        <v>59</v>
      </c>
      <c r="E16" s="5" t="s">
        <v>83</v>
      </c>
      <c r="F16" s="5" t="s">
        <v>60</v>
      </c>
      <c r="G16" s="5" t="s">
        <v>51</v>
      </c>
      <c r="H16" s="5" t="s">
        <v>22</v>
      </c>
      <c r="I16" s="5" t="s">
        <v>61</v>
      </c>
      <c r="J16" s="6">
        <v>166802</v>
      </c>
      <c r="K16" s="6">
        <v>574395</v>
      </c>
      <c r="L16" s="7">
        <f t="shared" si="0"/>
        <v>0.11802</v>
      </c>
      <c r="M16" s="7">
        <f t="shared" si="1"/>
        <v>1.11395</v>
      </c>
      <c r="N16" s="8">
        <f>52.1551744+(3235.65389*M16-32.58297*L16^2-0.2475*M16^2-0.84978*L16^2*M16-0.0655*M16^3-0.01709*L16^2*M16^2-0.00738*L16+0.0053*L16^4-0.00039*L16^2*M16^3+0.00033*L16^4*M16-0.00012*L16*M16)/3600</f>
        <v>53.156144060980324</v>
      </c>
      <c r="O16" s="8">
        <f>5.38720621+(5260.52916*L16+105.94684*L16*M16+2.45656*L16*M16^2-0.81885*L16^3+0.05594*L16*M16^3-O27*L16^3*M16+0.001199*M16-0.00256*L16^3*M16^2+0.00128*L16*M16^4+0.00022*M16^2-0.00022*L16^2+0.00026*L16^5)/3600</f>
        <v>5.563635566884674</v>
      </c>
    </row>
    <row r="17" spans="1:15">
      <c r="A17" s="5">
        <v>16</v>
      </c>
      <c r="B17" s="5" t="s">
        <v>80</v>
      </c>
      <c r="C17" s="5" t="s">
        <v>62</v>
      </c>
      <c r="D17" s="5" t="s">
        <v>38</v>
      </c>
      <c r="E17" s="5" t="s">
        <v>63</v>
      </c>
      <c r="F17" s="5" t="s">
        <v>64</v>
      </c>
      <c r="G17" s="5" t="s">
        <v>65</v>
      </c>
      <c r="H17" s="5" t="s">
        <v>17</v>
      </c>
      <c r="I17" s="5" t="s">
        <v>26</v>
      </c>
      <c r="J17" s="6">
        <v>178950</v>
      </c>
      <c r="K17" s="6">
        <v>574246</v>
      </c>
      <c r="L17" s="7">
        <f t="shared" si="0"/>
        <v>0.23949999999999999</v>
      </c>
      <c r="M17" s="7">
        <f t="shared" si="1"/>
        <v>1.11246</v>
      </c>
      <c r="N17" s="8">
        <f>52.1551744+(3235.65389*M17-32.58297*L17^2-0.2475*M17^2-0.84978*L17^2*M17-0.0655*M17^3-0.01709*L17^2*M17^2-0.00738*L17+0.0053*L17^4-0.00039*L17^2*M17^3+0.00033*L17^4*M17-0.00012*L17*M17)/3600</f>
        <v>53.154400187341778</v>
      </c>
      <c r="O17" s="8">
        <f>5.38720621+(5260.52916*L17+105.94684*L17*M17+2.45656*L17*M17^2-0.81885*L17^3+0.05594*L17*M17^3-O28*L17^3*M17+0.001199*M17-0.00256*L17^3*M17^2+0.00128*L17*M17^4+0.00022*M17^2-0.00022*L17^2+0.00026*L17^5)/3600</f>
        <v>5.7452234115838925</v>
      </c>
    </row>
    <row r="18" spans="1:15">
      <c r="A18" s="5">
        <v>17</v>
      </c>
      <c r="B18" s="5" t="s">
        <v>80</v>
      </c>
      <c r="C18" s="5" t="s">
        <v>66</v>
      </c>
      <c r="D18" s="5" t="s">
        <v>67</v>
      </c>
      <c r="E18" s="5" t="s">
        <v>68</v>
      </c>
      <c r="F18" s="5" t="s">
        <v>69</v>
      </c>
      <c r="G18" s="5" t="s">
        <v>109</v>
      </c>
      <c r="H18" s="5" t="s">
        <v>17</v>
      </c>
      <c r="I18" s="5" t="s">
        <v>70</v>
      </c>
      <c r="J18" s="6">
        <v>174052</v>
      </c>
      <c r="K18" s="6">
        <v>574241</v>
      </c>
      <c r="L18" s="7">
        <f t="shared" si="0"/>
        <v>0.19051999999999999</v>
      </c>
      <c r="M18" s="7">
        <f t="shared" si="1"/>
        <v>1.1124099999999999</v>
      </c>
      <c r="N18" s="8">
        <f>52.1551744+(3235.65389*M18-32.58297*L18^2-0.2475*M18^2-0.84978*L18^2*M18-0.0655*M18^3-0.01709*L18^2*M18^2-0.00738*L18+0.0053*L18^4-0.00039*L18^2*M18^3+0.00033*L18^4*M18-0.00012*L18*M18)/3600</f>
        <v>53.154551647993664</v>
      </c>
      <c r="O18" s="8">
        <f>5.38720621+(5260.52916*L18+105.94684*L18*M18+2.45656*L18*M18^2-0.81885*L18^3+0.05594*L18*M18^3-O29*L18^3*M18+0.001199*M18-0.00256*L18^3*M18^2+0.00128*L18*M18^4+0.00022*M18^2-0.00022*L18^2+0.00026*L18^5)/3600</f>
        <v>5.672006243101265</v>
      </c>
    </row>
    <row r="19" spans="1:15">
      <c r="A19" s="5">
        <v>18</v>
      </c>
      <c r="B19" s="5" t="s">
        <v>92</v>
      </c>
      <c r="C19" s="5" t="s">
        <v>71</v>
      </c>
      <c r="D19" s="5" t="s">
        <v>72</v>
      </c>
      <c r="E19" s="5" t="s">
        <v>83</v>
      </c>
      <c r="F19" s="5" t="s">
        <v>73</v>
      </c>
      <c r="G19" s="5" t="s">
        <v>74</v>
      </c>
      <c r="H19" s="5" t="s">
        <v>17</v>
      </c>
      <c r="I19" s="5" t="s">
        <v>75</v>
      </c>
      <c r="J19" s="6">
        <v>185567</v>
      </c>
      <c r="K19" s="6">
        <v>574004</v>
      </c>
      <c r="L19" s="7">
        <f t="shared" si="0"/>
        <v>0.30567</v>
      </c>
      <c r="M19" s="7">
        <f t="shared" si="1"/>
        <v>1.1100399999999999</v>
      </c>
      <c r="N19" s="8">
        <f>52.1551744+(3235.65389*M19-32.58297*L19^2-0.2475*M19^2-0.84978*L19^2*M19-0.0655*M19^3-0.01709*L19^2*M19^2-0.00738*L19+0.0053*L19^4-0.00039*L19^2*M19^3+0.00033*L19^4*M19-0.00012*L19*M19)/3600</f>
        <v>53.151889379383533</v>
      </c>
      <c r="O19" s="8">
        <f>5.38720621+(5260.52916*L19+105.94684*L19*M19+2.45656*L19*M19^2-0.81885*L19^3+0.05594*L19*M19^3-O30*L19^3*M19+0.001199*M19-0.00256*L19^3*M19^2+0.00128*L19*M19^4+0.00022*M19^2-0.00022*L19^2+0.00026*L19^5)/3600</f>
        <v>5.8441122303364903</v>
      </c>
    </row>
    <row r="20" spans="1:15">
      <c r="A20" s="5">
        <v>19</v>
      </c>
      <c r="B20" s="5" t="s">
        <v>80</v>
      </c>
      <c r="C20" s="5" t="s">
        <v>0</v>
      </c>
      <c r="D20" s="5" t="s">
        <v>1</v>
      </c>
      <c r="E20" s="5" t="s">
        <v>2</v>
      </c>
      <c r="F20" s="5" t="s">
        <v>3</v>
      </c>
      <c r="G20" s="5" t="s">
        <v>51</v>
      </c>
      <c r="H20" s="5" t="s">
        <v>23</v>
      </c>
      <c r="I20" s="5" t="s">
        <v>4</v>
      </c>
      <c r="J20" s="6">
        <v>169150</v>
      </c>
      <c r="K20" s="6">
        <v>573848</v>
      </c>
      <c r="L20" s="7">
        <f t="shared" si="0"/>
        <v>0.14149999999999999</v>
      </c>
      <c r="M20" s="7">
        <f t="shared" si="1"/>
        <v>1.1084799999999999</v>
      </c>
      <c r="N20" s="8">
        <f>52.1551744+(3235.65389*M20-32.58297*L20^2-0.2475*M20^2-0.84978*L20^2*M20-0.0655*M20^3-0.01709*L20^2*M20^2-0.00738*L20+0.0053*L20^4-0.00039*L20^2*M20^3+0.00033*L20^4*M20-0.00012*L20*M20)/3600</f>
        <v>53.151172056939913</v>
      </c>
      <c r="O20" s="8">
        <f>5.38720621+(5260.52916*L20+105.94684*L20*M20+2.45656*L20*M20^2-0.81885*L20^3+0.05594*L20*M20^3-T31*L20^3*M20+0.001199*M20-0.00256*L20^3*M20^2+0.00128*L20*M20^4+0.00022*M20^2-0.00022*L20^2+0.00026*L20^5)/3600</f>
        <v>5.5987117822273706</v>
      </c>
    </row>
    <row r="24" spans="1:15">
      <c r="A24" t="s">
        <v>14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Stein</dc:creator>
  <cp:lastModifiedBy>Jasper Stein</cp:lastModifiedBy>
  <dcterms:created xsi:type="dcterms:W3CDTF">2012-05-11T10:40:54Z</dcterms:created>
  <dcterms:modified xsi:type="dcterms:W3CDTF">2012-05-11T11:16:34Z</dcterms:modified>
</cp:coreProperties>
</file>